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Saiwider\Code\Qt\EHAcontrol\"/>
    </mc:Choice>
  </mc:AlternateContent>
  <xr:revisionPtr revIDLastSave="0" documentId="13_ncr:1_{8057C0EB-44DA-46AB-AF99-12548E860E2F}" xr6:coauthVersionLast="47" xr6:coauthVersionMax="47" xr10:uidLastSave="{00000000-0000-0000-0000-000000000000}"/>
  <bookViews>
    <workbookView xWindow="2304" yWindow="2304" windowWidth="17280" windowHeight="8964" tabRatio="477" xr2:uid="{00000000-000D-0000-FFFF-FFFF00000000}"/>
  </bookViews>
  <sheets>
    <sheet name="耐久测试" sheetId="17" r:id="rId1"/>
    <sheet name="Sheet1" sheetId="18" r:id="rId2"/>
  </sheets>
  <calcPr calcId="191029"/>
</workbook>
</file>

<file path=xl/calcChain.xml><?xml version="1.0" encoding="utf-8"?>
<calcChain xmlns="http://schemas.openxmlformats.org/spreadsheetml/2006/main">
  <c r="E9" i="17" l="1"/>
  <c r="F9" i="17" s="1"/>
  <c r="E18" i="17"/>
  <c r="F18" i="17" s="1"/>
  <c r="E17" i="17"/>
  <c r="F17" i="17" s="1"/>
  <c r="E16" i="17"/>
  <c r="F16" i="17" s="1"/>
  <c r="E15" i="17"/>
  <c r="F15" i="17" s="1"/>
  <c r="E14" i="17"/>
  <c r="F14" i="17" s="1"/>
  <c r="E13" i="17"/>
  <c r="F13" i="17" s="1"/>
  <c r="E12" i="17"/>
  <c r="F12" i="17" s="1"/>
  <c r="E11" i="17"/>
  <c r="F11" i="17" s="1"/>
  <c r="E10" i="17"/>
  <c r="F10" i="17" s="1"/>
  <c r="E8" i="17"/>
  <c r="F8" i="17" s="1"/>
</calcChain>
</file>

<file path=xl/sharedStrings.xml><?xml version="1.0" encoding="utf-8"?>
<sst xmlns="http://schemas.openxmlformats.org/spreadsheetml/2006/main" count="41" uniqueCount="39">
  <si>
    <t>序号</t>
  </si>
  <si>
    <t>主动力</t>
  </si>
  <si>
    <t>被动力</t>
  </si>
  <si>
    <t>滚压负载力测试分析表</t>
  </si>
  <si>
    <t>内置参数设置</t>
  </si>
  <si>
    <t>PN47</t>
  </si>
  <si>
    <t>PN52</t>
  </si>
  <si>
    <t>PN53</t>
  </si>
  <si>
    <t>版本</t>
  </si>
  <si>
    <t>实际力</t>
  </si>
  <si>
    <t>PN141</t>
  </si>
  <si>
    <t>PN142</t>
  </si>
  <si>
    <t>PN143</t>
  </si>
  <si>
    <t>PN144</t>
  </si>
  <si>
    <t>PN145</t>
  </si>
  <si>
    <t>PN146</t>
  </si>
  <si>
    <t>PN147</t>
  </si>
  <si>
    <t>PN148</t>
  </si>
  <si>
    <t>PN149</t>
  </si>
  <si>
    <t>型号</t>
    <phoneticPr fontId="5" type="noConversion"/>
  </si>
  <si>
    <t>PN140</t>
    <phoneticPr fontId="5" type="noConversion"/>
  </si>
  <si>
    <t>参数设置</t>
    <phoneticPr fontId="5" type="noConversion"/>
  </si>
  <si>
    <t>值</t>
    <phoneticPr fontId="5" type="noConversion"/>
  </si>
  <si>
    <t>设置的力</t>
    <phoneticPr fontId="5" type="noConversion"/>
  </si>
  <si>
    <t>PN170</t>
    <phoneticPr fontId="5" type="noConversion"/>
  </si>
  <si>
    <t>PN180</t>
    <phoneticPr fontId="5" type="noConversion"/>
  </si>
  <si>
    <t>PN181</t>
  </si>
  <si>
    <t>PN182</t>
  </si>
  <si>
    <t>PN183</t>
  </si>
  <si>
    <t>PN184</t>
  </si>
  <si>
    <t>PN185</t>
  </si>
  <si>
    <t>PN186</t>
  </si>
  <si>
    <t>PN187</t>
  </si>
  <si>
    <t>PN188</t>
  </si>
  <si>
    <t>PN189</t>
  </si>
  <si>
    <t>标定后测试</t>
    <phoneticPr fontId="5" type="noConversion"/>
  </si>
  <si>
    <t>偏差(标定后)</t>
    <phoneticPr fontId="5" type="noConversion"/>
  </si>
  <si>
    <t xml:space="preserve">正向测试:
设置值: 200
设定力: 200, 实际力: 208
设置值: 400
设定力: 400, 实际力: 392
设置值: 600
设定力: 600, 实际力: 598
设置值: 800
设定力: 800, 实际力: 795
设置值: 1000
设定力: 1000, 实际力: 1002
设置值: 1200
设定力: 1200, 实际力: 1202
设置值: 1400
设定力: 1400, 实际力: 1399
设置值: 1600
设定力: 1600, 实际力: 1598
设置值: 1800
设定力: 1800, 实际力: 1794
设置值: 2000
设定力: 2000, 实际力: 1991
</t>
    <phoneticPr fontId="5" type="noConversion"/>
  </si>
  <si>
    <t>反向测试:
设置值: 2000
设定力: 2000, 实际力: 1992
设置值: 1800
设定力: 1800, 实际力: 1787
设置值: 1600
设定力: 1600, 实际力: 1587
设置值: 1400
设定力: 1400, 实际力: 1388
设置值: 1200
设定力: 1200, 实际力: 1189
设置值: 1000
设定力: 1000, 实际力: 989
设置值: 800
设定力: 800, 实际力: 786
设置值: 600
设定力: 600, 实际力: 586
设置值: 400
设定力: 400, 实际力: 379
设置值: 200
设定力: 200, 实际力: 185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</si>
</sst>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6"/>
      <color theme="1"/>
      <name val="楷体"/>
      <charset val="134"/>
    </font>
    <font>
      <b/>
      <sz val="16"/>
      <color theme="1"/>
      <name val="等线"/>
      <scheme val="minor"/>
    </font>
    <font>
      <sz val="14"/>
      <color theme="1"/>
      <name val="黑体"/>
      <charset val="134"/>
    </font>
    <font>
      <sz val="14"/>
      <color theme="1"/>
      <name val="等线"/>
      <scheme val="minor"/>
    </font>
    <font>
      <sz val="9"/>
      <name val="等线"/>
      <scheme val="minor"/>
    </font>
    <font>
      <b/>
      <sz val="14"/>
      <color theme="1"/>
      <name val="黑体"/>
      <charset val="134"/>
    </font>
    <font>
      <b/>
      <sz val="14"/>
      <color theme="1"/>
      <name val="等线"/>
      <scheme val="minor"/>
    </font>
    <font>
      <b/>
      <sz val="20"/>
      <color theme="1"/>
      <name val="黑体"/>
      <charset val="134"/>
    </font>
    <font>
      <b/>
      <sz val="20"/>
      <color theme="1"/>
      <name val="黑体"/>
      <family val="3"/>
      <charset val="134"/>
    </font>
    <font>
      <b/>
      <sz val="14"/>
      <color theme="1"/>
      <name val="黑体"/>
      <family val="3"/>
      <charset val="134"/>
    </font>
    <font>
      <sz val="11"/>
      <color theme="1"/>
      <name val="等线"/>
      <scheme val="minor"/>
    </font>
    <font>
      <sz val="14"/>
      <color theme="1"/>
      <name val="楷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6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耐久测试!$F$7</c:f>
              <c:strCache>
                <c:ptCount val="1"/>
                <c:pt idx="0">
                  <c:v>偏差(标定后)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耐久测试!$B$8:$B$18</c:f>
              <c:numCache>
                <c:formatCode>General</c:formatCod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</c:numCache>
            </c:numRef>
          </c:cat>
          <c:val>
            <c:numRef>
              <c:f>耐久测试!$F$8:$F$18</c:f>
              <c:numCache>
                <c:formatCode>General</c:formatCode>
                <c:ptCount val="1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7-4E96-8DD5-F65178D0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84256"/>
        <c:axId val="486885696"/>
      </c:lineChart>
      <c:catAx>
        <c:axId val="48688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885696"/>
        <c:crosses val="autoZero"/>
        <c:auto val="1"/>
        <c:lblAlgn val="ctr"/>
        <c:lblOffset val="100"/>
        <c:noMultiLvlLbl val="0"/>
      </c:catAx>
      <c:valAx>
        <c:axId val="486885696"/>
        <c:scaling>
          <c:orientation val="minMax"/>
          <c:max val="3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688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85163</xdr:colOff>
      <xdr:row>3</xdr:row>
      <xdr:rowOff>80681</xdr:rowOff>
    </xdr:from>
    <xdr:to>
      <xdr:col>18</xdr:col>
      <xdr:colOff>600635</xdr:colOff>
      <xdr:row>17</xdr:row>
      <xdr:rowOff>233081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C737C0-6049-381B-0E39-7D6FFD648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tabSelected="1" topLeftCell="A5" zoomScale="85" zoomScaleNormal="85" workbookViewId="0">
      <selection activeCell="J8" sqref="J8:J17"/>
    </sheetView>
  </sheetViews>
  <sheetFormatPr defaultColWidth="9" defaultRowHeight="13.8" x14ac:dyDescent="0.25"/>
  <cols>
    <col min="1" max="4" width="12.77734375" customWidth="1"/>
    <col min="5" max="7" width="12.77734375" style="1" customWidth="1"/>
    <col min="8" max="10" width="12.77734375" customWidth="1"/>
  </cols>
  <sheetData>
    <row r="1" spans="1:10" ht="51.6" customHeight="1" x14ac:dyDescent="0.25">
      <c r="A1" s="14" t="s">
        <v>3</v>
      </c>
      <c r="B1" s="15"/>
      <c r="C1" s="15"/>
      <c r="D1" s="15"/>
      <c r="E1" s="15"/>
      <c r="F1" s="15"/>
      <c r="G1" s="19"/>
      <c r="H1" s="19"/>
      <c r="I1" s="19"/>
      <c r="J1" s="19"/>
    </row>
    <row r="2" spans="1:10" ht="24" customHeight="1" x14ac:dyDescent="0.25">
      <c r="A2" s="12" t="s">
        <v>19</v>
      </c>
      <c r="B2" s="16"/>
      <c r="C2" s="16"/>
      <c r="D2" s="16"/>
      <c r="E2" s="16"/>
      <c r="F2" s="16"/>
      <c r="G2" s="19"/>
      <c r="H2" s="19"/>
      <c r="I2" s="19"/>
      <c r="J2" s="19"/>
    </row>
    <row r="3" spans="1:10" ht="16.2" customHeight="1" x14ac:dyDescent="0.25">
      <c r="A3" s="17" t="s">
        <v>4</v>
      </c>
      <c r="B3" s="18" t="s">
        <v>35</v>
      </c>
      <c r="C3" s="18"/>
      <c r="D3" s="18"/>
      <c r="E3" s="18"/>
      <c r="F3" s="18"/>
      <c r="G3" s="19"/>
      <c r="H3" s="19"/>
      <c r="I3" s="19"/>
      <c r="J3" s="19"/>
    </row>
    <row r="4" spans="1:10" ht="16.2" customHeight="1" x14ac:dyDescent="0.25">
      <c r="A4" s="17"/>
      <c r="B4" s="18"/>
      <c r="C4" s="18"/>
      <c r="D4" s="18"/>
      <c r="E4" s="18"/>
      <c r="F4" s="18"/>
      <c r="G4" s="19"/>
      <c r="H4" s="19"/>
      <c r="I4" s="19"/>
      <c r="J4" s="19"/>
    </row>
    <row r="5" spans="1:10" ht="16.2" customHeight="1" x14ac:dyDescent="0.25">
      <c r="A5" s="17"/>
      <c r="B5" s="4" t="s">
        <v>5</v>
      </c>
      <c r="C5" s="4" t="s">
        <v>6</v>
      </c>
      <c r="D5" s="4" t="s">
        <v>7</v>
      </c>
      <c r="E5" s="4" t="s">
        <v>24</v>
      </c>
      <c r="F5" s="4" t="s">
        <v>8</v>
      </c>
      <c r="G5" s="19"/>
      <c r="H5" s="19"/>
      <c r="I5" s="19"/>
      <c r="J5" s="19"/>
    </row>
    <row r="6" spans="1:10" ht="17.399999999999999" x14ac:dyDescent="0.25">
      <c r="A6" s="17"/>
      <c r="B6" s="2"/>
      <c r="C6" s="2"/>
      <c r="D6" s="2"/>
      <c r="E6" s="3"/>
      <c r="F6" s="2"/>
      <c r="G6" s="19"/>
      <c r="H6" s="19"/>
      <c r="I6" s="19"/>
      <c r="J6" s="19"/>
    </row>
    <row r="7" spans="1:10" ht="34.799999999999997" x14ac:dyDescent="0.25">
      <c r="A7" s="7" t="s">
        <v>0</v>
      </c>
      <c r="B7" s="5" t="s">
        <v>23</v>
      </c>
      <c r="C7" s="6" t="s">
        <v>1</v>
      </c>
      <c r="D7" s="6" t="s">
        <v>2</v>
      </c>
      <c r="E7" s="6" t="s">
        <v>9</v>
      </c>
      <c r="F7" s="5" t="s">
        <v>36</v>
      </c>
      <c r="G7" s="11" t="s">
        <v>21</v>
      </c>
      <c r="H7" s="9" t="s">
        <v>22</v>
      </c>
      <c r="I7" s="11" t="s">
        <v>21</v>
      </c>
      <c r="J7" s="9" t="s">
        <v>22</v>
      </c>
    </row>
    <row r="8" spans="1:10" ht="19.2" x14ac:dyDescent="0.25">
      <c r="A8" s="3">
        <v>1</v>
      </c>
      <c r="B8" s="3">
        <v>0</v>
      </c>
      <c r="C8" s="3"/>
      <c r="D8" s="3"/>
      <c r="E8" s="3">
        <f t="shared" ref="E8:E18" si="0">(C8+D8)/2</f>
        <v>0</v>
      </c>
      <c r="F8" s="3">
        <f t="shared" ref="F8:F18" si="1">B8-E8</f>
        <v>0</v>
      </c>
      <c r="G8" s="9" t="s">
        <v>20</v>
      </c>
      <c r="H8" s="8"/>
      <c r="I8" s="9" t="s">
        <v>25</v>
      </c>
      <c r="J8" s="8"/>
    </row>
    <row r="9" spans="1:10" ht="19.2" x14ac:dyDescent="0.25">
      <c r="A9" s="3">
        <v>2</v>
      </c>
      <c r="B9" s="3">
        <v>200</v>
      </c>
      <c r="C9" s="3"/>
      <c r="D9" s="3"/>
      <c r="E9" s="3">
        <f t="shared" si="0"/>
        <v>0</v>
      </c>
      <c r="F9" s="3">
        <f t="shared" si="1"/>
        <v>200</v>
      </c>
      <c r="G9" s="9" t="s">
        <v>10</v>
      </c>
      <c r="H9" s="8"/>
      <c r="I9" s="9" t="s">
        <v>26</v>
      </c>
      <c r="J9" s="8"/>
    </row>
    <row r="10" spans="1:10" ht="19.2" x14ac:dyDescent="0.25">
      <c r="A10" s="3">
        <v>3</v>
      </c>
      <c r="B10" s="3">
        <v>400</v>
      </c>
      <c r="C10" s="3"/>
      <c r="D10" s="3"/>
      <c r="E10" s="3">
        <f t="shared" si="0"/>
        <v>0</v>
      </c>
      <c r="F10" s="3">
        <f t="shared" si="1"/>
        <v>400</v>
      </c>
      <c r="G10" s="9" t="s">
        <v>11</v>
      </c>
      <c r="H10" s="8"/>
      <c r="I10" s="9" t="s">
        <v>27</v>
      </c>
      <c r="J10" s="8"/>
    </row>
    <row r="11" spans="1:10" ht="19.2" x14ac:dyDescent="0.25">
      <c r="A11" s="3">
        <v>4</v>
      </c>
      <c r="B11" s="3">
        <v>600</v>
      </c>
      <c r="C11" s="3"/>
      <c r="D11" s="3"/>
      <c r="E11" s="3">
        <f t="shared" si="0"/>
        <v>0</v>
      </c>
      <c r="F11" s="3">
        <f t="shared" si="1"/>
        <v>600</v>
      </c>
      <c r="G11" s="9" t="s">
        <v>12</v>
      </c>
      <c r="H11" s="8"/>
      <c r="I11" s="9" t="s">
        <v>28</v>
      </c>
      <c r="J11" s="8"/>
    </row>
    <row r="12" spans="1:10" ht="19.2" x14ac:dyDescent="0.25">
      <c r="A12" s="3">
        <v>5</v>
      </c>
      <c r="B12" s="3">
        <v>800</v>
      </c>
      <c r="C12" s="3"/>
      <c r="D12" s="3"/>
      <c r="E12" s="3">
        <f t="shared" si="0"/>
        <v>0</v>
      </c>
      <c r="F12" s="3">
        <f t="shared" si="1"/>
        <v>800</v>
      </c>
      <c r="G12" s="9" t="s">
        <v>13</v>
      </c>
      <c r="H12" s="8"/>
      <c r="I12" s="9" t="s">
        <v>29</v>
      </c>
      <c r="J12" s="8"/>
    </row>
    <row r="13" spans="1:10" ht="19.2" x14ac:dyDescent="0.25">
      <c r="A13" s="3">
        <v>6</v>
      </c>
      <c r="B13" s="3">
        <v>1000</v>
      </c>
      <c r="C13" s="3"/>
      <c r="D13" s="3"/>
      <c r="E13" s="3">
        <f t="shared" si="0"/>
        <v>0</v>
      </c>
      <c r="F13" s="3">
        <f t="shared" si="1"/>
        <v>1000</v>
      </c>
      <c r="G13" s="9" t="s">
        <v>14</v>
      </c>
      <c r="H13" s="8"/>
      <c r="I13" s="9" t="s">
        <v>30</v>
      </c>
      <c r="J13" s="8"/>
    </row>
    <row r="14" spans="1:10" ht="19.2" x14ac:dyDescent="0.25">
      <c r="A14" s="3">
        <v>7</v>
      </c>
      <c r="B14" s="3">
        <v>1200</v>
      </c>
      <c r="C14" s="3"/>
      <c r="D14" s="3"/>
      <c r="E14" s="3">
        <f t="shared" si="0"/>
        <v>0</v>
      </c>
      <c r="F14" s="3">
        <f t="shared" si="1"/>
        <v>1200</v>
      </c>
      <c r="G14" s="9" t="s">
        <v>15</v>
      </c>
      <c r="H14" s="8"/>
      <c r="I14" s="9" t="s">
        <v>31</v>
      </c>
      <c r="J14" s="8"/>
    </row>
    <row r="15" spans="1:10" ht="19.2" x14ac:dyDescent="0.25">
      <c r="A15" s="3">
        <v>8</v>
      </c>
      <c r="B15" s="3">
        <v>1400</v>
      </c>
      <c r="C15" s="3"/>
      <c r="D15" s="3"/>
      <c r="E15" s="3">
        <f t="shared" si="0"/>
        <v>0</v>
      </c>
      <c r="F15" s="3">
        <f t="shared" si="1"/>
        <v>1400</v>
      </c>
      <c r="G15" s="9" t="s">
        <v>16</v>
      </c>
      <c r="H15" s="8"/>
      <c r="I15" s="9" t="s">
        <v>32</v>
      </c>
      <c r="J15" s="8"/>
    </row>
    <row r="16" spans="1:10" ht="19.2" x14ac:dyDescent="0.25">
      <c r="A16" s="3">
        <v>9</v>
      </c>
      <c r="B16" s="3">
        <v>1600</v>
      </c>
      <c r="C16" s="3"/>
      <c r="D16" s="3"/>
      <c r="E16" s="3">
        <f t="shared" si="0"/>
        <v>0</v>
      </c>
      <c r="F16" s="3">
        <f t="shared" si="1"/>
        <v>1600</v>
      </c>
      <c r="G16" s="9" t="s">
        <v>17</v>
      </c>
      <c r="H16" s="8"/>
      <c r="I16" s="9" t="s">
        <v>33</v>
      </c>
      <c r="J16" s="8"/>
    </row>
    <row r="17" spans="1:10" ht="19.2" x14ac:dyDescent="0.25">
      <c r="A17" s="3">
        <v>10</v>
      </c>
      <c r="B17" s="3">
        <v>1800</v>
      </c>
      <c r="C17" s="3"/>
      <c r="D17" s="3"/>
      <c r="E17" s="3">
        <f t="shared" si="0"/>
        <v>0</v>
      </c>
      <c r="F17" s="3">
        <f t="shared" si="1"/>
        <v>1800</v>
      </c>
      <c r="G17" s="9" t="s">
        <v>18</v>
      </c>
      <c r="H17" s="8"/>
      <c r="I17" s="9" t="s">
        <v>34</v>
      </c>
      <c r="J17" s="8"/>
    </row>
    <row r="18" spans="1:10" ht="19.2" x14ac:dyDescent="0.25">
      <c r="A18" s="3">
        <v>11</v>
      </c>
      <c r="B18" s="3">
        <v>2000</v>
      </c>
      <c r="C18" s="3"/>
      <c r="D18" s="3"/>
      <c r="E18" s="3">
        <f t="shared" si="0"/>
        <v>0</v>
      </c>
      <c r="F18" s="3">
        <f t="shared" si="1"/>
        <v>2000</v>
      </c>
      <c r="G18" s="13"/>
      <c r="H18" s="13"/>
      <c r="I18" s="13"/>
      <c r="J18" s="13"/>
    </row>
  </sheetData>
  <mergeCells count="6">
    <mergeCell ref="G18:J18"/>
    <mergeCell ref="A1:F1"/>
    <mergeCell ref="B2:F2"/>
    <mergeCell ref="A3:A6"/>
    <mergeCell ref="B3:F4"/>
    <mergeCell ref="G1:J6"/>
  </mergeCells>
  <phoneticPr fontId="5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54F4-F48F-49CA-AD8D-75FA0F7E2D11}">
  <dimension ref="A1:B1"/>
  <sheetViews>
    <sheetView workbookViewId="0">
      <selection activeCell="A4" sqref="A4"/>
    </sheetView>
  </sheetViews>
  <sheetFormatPr defaultRowHeight="13.8" x14ac:dyDescent="0.25"/>
  <cols>
    <col min="1" max="1" width="46.88671875" customWidth="1"/>
    <col min="2" max="2" width="61.33203125" customWidth="1"/>
  </cols>
  <sheetData>
    <row r="1" spans="1:2" ht="344.4" customHeight="1" x14ac:dyDescent="0.25">
      <c r="A1" s="10" t="s">
        <v>37</v>
      </c>
      <c r="B1" s="10" t="s">
        <v>38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耐久测试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翌晨 周</dc:creator>
  <cp:lastModifiedBy>SWR-QY</cp:lastModifiedBy>
  <dcterms:created xsi:type="dcterms:W3CDTF">2023-12-26T08:02:00Z</dcterms:created>
  <dcterms:modified xsi:type="dcterms:W3CDTF">2026-07-01T08:29:56Z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C80157759CDF4ABD920C0E599FEC9D1E_13</vt:lpwstr>
  </property>
  <property fmtid="{D5CDD505-2E9C-101B-9397-08002B2CF9AE}" pid="3" name="KSOProductBuildVer">
    <vt:lpwstr>2052-12.1.0.20784</vt:lpwstr>
  </property>
</Properties>
</file>